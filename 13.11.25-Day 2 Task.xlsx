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8FA934F-4FD4-41AD-896E-3F720CE1F37A}" xr6:coauthVersionLast="40" xr6:coauthVersionMax="40" xr10:uidLastSave="{00000000-0000-0000-0000-000000000000}"/>
  <bookViews>
    <workbookView xWindow="0" yWindow="0" windowWidth="24000" windowHeight="9525" activeTab="1" xr2:uid="{00000000-000D-0000-FFFF-FFFF00000000}"/>
  </bookViews>
  <sheets>
    <sheet name="Task 1" sheetId="1" r:id="rId1"/>
    <sheet name="Task 2" sheetId="2" r:id="rId2"/>
    <sheet name="Task 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2" l="1"/>
  <c r="C31" i="2"/>
  <c r="C32" i="2"/>
  <c r="C26" i="2"/>
  <c r="C25" i="2"/>
  <c r="C24" i="2"/>
  <c r="C23" i="2"/>
  <c r="C22" i="2"/>
  <c r="C20" i="2"/>
  <c r="C19" i="2"/>
  <c r="C18" i="2"/>
  <c r="C17" i="2"/>
  <c r="C16" i="2"/>
  <c r="C15" i="2"/>
  <c r="C14" i="2"/>
  <c r="C55" i="1" l="1"/>
  <c r="C57" i="1"/>
  <c r="C21" i="2"/>
</calcChain>
</file>

<file path=xl/sharedStrings.xml><?xml version="1.0" encoding="utf-8"?>
<sst xmlns="http://schemas.openxmlformats.org/spreadsheetml/2006/main" count="239" uniqueCount="170">
  <si>
    <t>A: Employee</t>
  </si>
  <si>
    <t>B: Department</t>
  </si>
  <si>
    <t>C: Region</t>
  </si>
  <si>
    <t>D: Sales (₹)</t>
  </si>
  <si>
    <t>E: Target (₹)</t>
  </si>
  <si>
    <t>F: Achieved %</t>
  </si>
  <si>
    <t>G: Attendance %</t>
  </si>
  <si>
    <t>Indhu</t>
  </si>
  <si>
    <t>Sales</t>
  </si>
  <si>
    <t>South</t>
  </si>
  <si>
    <t>Ramesh</t>
  </si>
  <si>
    <t>North</t>
  </si>
  <si>
    <t>Priya</t>
  </si>
  <si>
    <t>HR</t>
  </si>
  <si>
    <t>Karthik</t>
  </si>
  <si>
    <t>IT</t>
  </si>
  <si>
    <t>East</t>
  </si>
  <si>
    <t>Divya</t>
  </si>
  <si>
    <t>West</t>
  </si>
  <si>
    <t>Meena</t>
  </si>
  <si>
    <t>Suresh</t>
  </si>
  <si>
    <t>Arun</t>
  </si>
  <si>
    <t>Keerthi</t>
  </si>
  <si>
    <t>Vignesh</t>
  </si>
  <si>
    <t>#</t>
  </si>
  <si>
    <t>Task</t>
  </si>
  <si>
    <t>Total Sales</t>
  </si>
  <si>
    <t>Average Sales</t>
  </si>
  <si>
    <t>Highest Sale</t>
  </si>
  <si>
    <t>Lowest Sale</t>
  </si>
  <si>
    <t>Count Employees</t>
  </si>
  <si>
    <t>Count Sales Dept</t>
  </si>
  <si>
    <t>Count South Region</t>
  </si>
  <si>
    <t>Count Sales &gt; 80000</t>
  </si>
  <si>
    <t>Sum of Sales &gt; 80000</t>
  </si>
  <si>
    <t>Average Sales &gt; 80000</t>
  </si>
  <si>
    <t>Total Sales in South</t>
  </si>
  <si>
    <t>Avg Target for IT Dept</t>
  </si>
  <si>
    <t>Count of 100% Achieved</t>
  </si>
  <si>
    <t>Sum of HR Department Sales</t>
  </si>
  <si>
    <t>Avg Attendance</t>
  </si>
  <si>
    <t>Employees above 90% attendance</t>
  </si>
  <si>
    <t>Employees meeting/exceeding target</t>
  </si>
  <si>
    <t>Total Target Amount</t>
  </si>
  <si>
    <t>Average of South Region</t>
  </si>
  <si>
    <t>Total Sales for Each Department</t>
  </si>
  <si>
    <t>% Achievement</t>
  </si>
  <si>
    <t>Count of Sales Between 50000–90000</t>
  </si>
  <si>
    <t>Sum Sales &gt;80K in South</t>
  </si>
  <si>
    <t>Avg Sales &lt; Target</t>
  </si>
  <si>
    <t>Count IT Dept with 90%+ Attendance</t>
  </si>
  <si>
    <t>Multi-condition</t>
  </si>
  <si>
    <t>Count Blank Cells</t>
  </si>
  <si>
    <t>Empty cell count</t>
  </si>
  <si>
    <t>Add Bonus 10% if Above Target</t>
  </si>
  <si>
    <t>Conditional calculation</t>
  </si>
  <si>
    <t>Employees below target(100%)</t>
  </si>
  <si>
    <t>Bonus Eligibility (&gt;100%)</t>
  </si>
  <si>
    <t>Attendance Warning(Less than 85)</t>
  </si>
  <si>
    <t>Achieved &gt;= Target AND Attendance &gt;=90 then Star Performer else Average</t>
  </si>
  <si>
    <t>Count Star Performers [based on previous Task]</t>
  </si>
  <si>
    <t>2nd Highest Sales</t>
  </si>
  <si>
    <t>3rd Lowest Sales</t>
  </si>
  <si>
    <t>Product_ID</t>
  </si>
  <si>
    <t>Product_Name</t>
  </si>
  <si>
    <t>Category</t>
  </si>
  <si>
    <t>Unit_Price</t>
  </si>
  <si>
    <t>Quantity_Sold</t>
  </si>
  <si>
    <t>Discount_%</t>
  </si>
  <si>
    <t>Region</t>
  </si>
  <si>
    <t>P101</t>
  </si>
  <si>
    <t>Laptop</t>
  </si>
  <si>
    <t>Electronics</t>
  </si>
  <si>
    <t>P102</t>
  </si>
  <si>
    <t>Mouse</t>
  </si>
  <si>
    <t>Accessories</t>
  </si>
  <si>
    <t>P103</t>
  </si>
  <si>
    <t>Keyboard</t>
  </si>
  <si>
    <t>P104</t>
  </si>
  <si>
    <t>Monitor</t>
  </si>
  <si>
    <t>P105</t>
  </si>
  <si>
    <t>Printer</t>
  </si>
  <si>
    <t>P106</t>
  </si>
  <si>
    <t>Scanner</t>
  </si>
  <si>
    <t>P107</t>
  </si>
  <si>
    <t>Tablet</t>
  </si>
  <si>
    <t>P108</t>
  </si>
  <si>
    <t>Speaker</t>
  </si>
  <si>
    <t>P109</t>
  </si>
  <si>
    <t>Camera</t>
  </si>
  <si>
    <t>P110</t>
  </si>
  <si>
    <t>Router</t>
  </si>
  <si>
    <t>Networking</t>
  </si>
  <si>
    <t>Total Quantity Sold</t>
  </si>
  <si>
    <t>Average Unit Price</t>
  </si>
  <si>
    <t>Highest Unit Price</t>
  </si>
  <si>
    <t>Lowest Unit Price</t>
  </si>
  <si>
    <t>Count of Products</t>
  </si>
  <si>
    <t>Count Accessories</t>
  </si>
  <si>
    <t>Sum of Electronics Prices</t>
  </si>
  <si>
    <t>Avg Discount of Electronics</t>
  </si>
  <si>
    <t>Count Items in South Region</t>
  </si>
  <si>
    <t>Total Quantity Sold in East</t>
  </si>
  <si>
    <t>Average Price &gt;10000</t>
  </si>
  <si>
    <t>Count Items &lt;10% Discount</t>
  </si>
  <si>
    <t>Total Revenue</t>
  </si>
  <si>
    <t>Count Products with Price&gt;10000 and Discount&lt;5</t>
  </si>
  <si>
    <t>Total Units Sold in Electronics (≥10% Discount)</t>
  </si>
  <si>
    <t>Average Price in South Region</t>
  </si>
  <si>
    <t>Count Accessories Sold ≥50 Units</t>
  </si>
  <si>
    <t>IF Unit Price&gt; 10000: Expensive or else it is budget</t>
  </si>
  <si>
    <t>IF Region is South Return" Zone A" else return "Other Zone"</t>
  </si>
  <si>
    <t>Customer_ID</t>
  </si>
  <si>
    <t>Customer_Name</t>
  </si>
  <si>
    <t>City</t>
  </si>
  <si>
    <t>Product_Category</t>
  </si>
  <si>
    <t>Purchase_Amount</t>
  </si>
  <si>
    <t>Purchase_Date</t>
  </si>
  <si>
    <t>CUST001</t>
  </si>
  <si>
    <t>Madurai</t>
  </si>
  <si>
    <t>Furniture</t>
  </si>
  <si>
    <t>CUST002</t>
  </si>
  <si>
    <t>Trichy</t>
  </si>
  <si>
    <t>Groceries</t>
  </si>
  <si>
    <t>CUST003</t>
  </si>
  <si>
    <t>Mani</t>
  </si>
  <si>
    <t>Chennai</t>
  </si>
  <si>
    <t>CUST004</t>
  </si>
  <si>
    <t>Clothing</t>
  </si>
  <si>
    <t>CUST005</t>
  </si>
  <si>
    <t>Ravi</t>
  </si>
  <si>
    <t>CUST006</t>
  </si>
  <si>
    <t>Nisha</t>
  </si>
  <si>
    <t>CUST007</t>
  </si>
  <si>
    <t>Vijay</t>
  </si>
  <si>
    <t>CUST008</t>
  </si>
  <si>
    <t>CUST009</t>
  </si>
  <si>
    <t>CUST010</t>
  </si>
  <si>
    <t>CUST011</t>
  </si>
  <si>
    <t>Anbu</t>
  </si>
  <si>
    <t>CUST012</t>
  </si>
  <si>
    <t>Deepa</t>
  </si>
  <si>
    <t>CUST013</t>
  </si>
  <si>
    <t>CUST014</t>
  </si>
  <si>
    <t>Sneha</t>
  </si>
  <si>
    <t>CUST015</t>
  </si>
  <si>
    <t>Rahul</t>
  </si>
  <si>
    <t>Total Purchase Amount</t>
  </si>
  <si>
    <t>Average Purchase Amount</t>
  </si>
  <si>
    <t>Highest Purchase Amount</t>
  </si>
  <si>
    <t>Lowest Purchase Amount</t>
  </si>
  <si>
    <t>Count of Customers</t>
  </si>
  <si>
    <t>Count of Chennai Customers</t>
  </si>
  <si>
    <t>Total Purchase from Madurai</t>
  </si>
  <si>
    <t>Avg Discount for Clothing</t>
  </si>
  <si>
    <t>Count Electronics Purchases</t>
  </si>
  <si>
    <t>Total Furniture Purchase</t>
  </si>
  <si>
    <t>Count &gt;15000 Purchase</t>
  </si>
  <si>
    <t>Avg Purchase &lt;10000</t>
  </si>
  <si>
    <t>Total Purchase with 10% Discount</t>
  </si>
  <si>
    <t>City category check</t>
  </si>
  <si>
    <t>Count Clothing with &gt;10% Discount</t>
  </si>
  <si>
    <t>Sum Electronics with 5% Discount</t>
  </si>
  <si>
    <t>SUMIFS</t>
  </si>
  <si>
    <t>Avg Purchase in Coimbatore</t>
  </si>
  <si>
    <t>City average</t>
  </si>
  <si>
    <t>Count Groceries &lt;5000</t>
  </si>
  <si>
    <t>IF Purchase Amount &gt; 10000 return Big else Small</t>
  </si>
  <si>
    <t>IF City is Chennai return Metro else return Other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</si>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</sst>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4" workbookViewId="0">
      <selection activeCell="C14" sqref="C14"/>
    </sheetView>
  </sheetViews>
  <sheetFormatPr defaultRowHeight="18.75" customHeight="1" x14ac:dyDescent="0.25"/>
  <cols>
    <col min="1" max="1" width="15.140625" customWidth="1"/>
    <col min="2" max="2" width="38.28515625" bestFit="1" customWidth="1"/>
    <col min="3" max="3" width="36.28515625" bestFit="1" customWidth="1"/>
    <col min="4" max="4" width="31.140625" bestFit="1" customWidth="1"/>
    <col min="5" max="5" width="11.5703125" bestFit="1" customWidth="1"/>
    <col min="6" max="6" width="13.42578125" bestFit="1" customWidth="1"/>
    <col min="7" max="7" width="15.85546875" bestFit="1" customWidth="1"/>
  </cols>
  <sheetData>
    <row r="1" spans="1:7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x14ac:dyDescent="0.25">
      <c r="A2" s="2" t="s">
        <v>7</v>
      </c>
      <c r="B2" s="2" t="s">
        <v>8</v>
      </c>
      <c r="C2" s="2" t="s">
        <v>9</v>
      </c>
      <c r="D2" s="2">
        <v>85000</v>
      </c>
      <c r="E2" s="2">
        <v>80000</v>
      </c>
      <c r="F2" s="3">
        <v>1.06</v>
      </c>
      <c r="G2" s="2">
        <v>95</v>
      </c>
    </row>
    <row r="3" spans="1:7" ht="18.75" customHeight="1" x14ac:dyDescent="0.25">
      <c r="A3" s="2" t="s">
        <v>10</v>
      </c>
      <c r="B3" s="2" t="s">
        <v>8</v>
      </c>
      <c r="C3" s="2" t="s">
        <v>11</v>
      </c>
      <c r="D3" s="2">
        <v>65000</v>
      </c>
      <c r="E3" s="2">
        <v>70000</v>
      </c>
      <c r="F3" s="3">
        <v>0.93</v>
      </c>
      <c r="G3" s="2">
        <v>82</v>
      </c>
    </row>
    <row r="4" spans="1:7" ht="18.75" customHeight="1" x14ac:dyDescent="0.25">
      <c r="A4" s="2" t="s">
        <v>12</v>
      </c>
      <c r="B4" s="2" t="s">
        <v>13</v>
      </c>
      <c r="C4" s="2" t="s">
        <v>9</v>
      </c>
      <c r="D4" s="2">
        <v>40000</v>
      </c>
      <c r="E4" s="2">
        <v>40000</v>
      </c>
      <c r="F4" s="3">
        <v>1</v>
      </c>
      <c r="G4" s="2">
        <v>90</v>
      </c>
    </row>
    <row r="5" spans="1:7" ht="18.75" customHeight="1" x14ac:dyDescent="0.25">
      <c r="A5" s="2" t="s">
        <v>14</v>
      </c>
      <c r="B5" s="2" t="s">
        <v>15</v>
      </c>
      <c r="C5" s="2" t="s">
        <v>16</v>
      </c>
      <c r="D5" s="2">
        <v>95000</v>
      </c>
      <c r="E5" s="2">
        <v>90000</v>
      </c>
      <c r="F5" s="3">
        <v>1.06</v>
      </c>
      <c r="G5" s="2">
        <v>98</v>
      </c>
    </row>
    <row r="6" spans="1:7" ht="18.75" customHeight="1" x14ac:dyDescent="0.25">
      <c r="A6" s="2" t="s">
        <v>17</v>
      </c>
      <c r="B6" s="2" t="s">
        <v>8</v>
      </c>
      <c r="C6" s="2" t="s">
        <v>18</v>
      </c>
      <c r="D6" s="2">
        <v>72000</v>
      </c>
      <c r="E6" s="2">
        <v>80000</v>
      </c>
      <c r="F6" s="3">
        <v>0.9</v>
      </c>
      <c r="G6" s="2">
        <v>85</v>
      </c>
    </row>
    <row r="7" spans="1:7" ht="18.75" customHeight="1" x14ac:dyDescent="0.25">
      <c r="A7" s="2" t="s">
        <v>19</v>
      </c>
      <c r="B7" s="2" t="s">
        <v>13</v>
      </c>
      <c r="C7" s="2" t="s">
        <v>11</v>
      </c>
      <c r="D7" s="2">
        <v>38000</v>
      </c>
      <c r="E7" s="2">
        <v>35000</v>
      </c>
      <c r="F7" s="3">
        <v>1.0900000000000001</v>
      </c>
      <c r="G7" s="2">
        <v>87</v>
      </c>
    </row>
    <row r="8" spans="1:7" ht="18.75" customHeight="1" x14ac:dyDescent="0.25">
      <c r="A8" s="2" t="s">
        <v>20</v>
      </c>
      <c r="B8" s="2" t="s">
        <v>15</v>
      </c>
      <c r="C8" s="2" t="s">
        <v>9</v>
      </c>
      <c r="D8" s="2">
        <v>80000</v>
      </c>
      <c r="E8" s="2">
        <v>75000</v>
      </c>
      <c r="F8" s="3">
        <v>1.07</v>
      </c>
      <c r="G8" s="2">
        <v>91</v>
      </c>
    </row>
    <row r="9" spans="1:7" ht="18.75" customHeight="1" x14ac:dyDescent="0.25">
      <c r="A9" s="2" t="s">
        <v>21</v>
      </c>
      <c r="B9" s="2" t="s">
        <v>15</v>
      </c>
      <c r="C9" s="2" t="s">
        <v>18</v>
      </c>
      <c r="D9" s="2">
        <v>73000</v>
      </c>
      <c r="E9" s="2">
        <v>75000</v>
      </c>
      <c r="F9" s="3">
        <v>0.97</v>
      </c>
      <c r="G9" s="2">
        <v>89</v>
      </c>
    </row>
    <row r="10" spans="1:7" ht="18.75" customHeight="1" x14ac:dyDescent="0.25">
      <c r="A10" s="2" t="s">
        <v>22</v>
      </c>
      <c r="B10" s="2" t="s">
        <v>8</v>
      </c>
      <c r="C10" s="2" t="s">
        <v>16</v>
      </c>
      <c r="D10" s="2">
        <v>91000</v>
      </c>
      <c r="E10" s="2">
        <v>88000</v>
      </c>
      <c r="F10" s="3">
        <v>1.03</v>
      </c>
      <c r="G10" s="2">
        <v>94</v>
      </c>
    </row>
    <row r="11" spans="1:7" ht="18.75" customHeight="1" x14ac:dyDescent="0.25">
      <c r="A11" s="2" t="s">
        <v>23</v>
      </c>
      <c r="B11" s="2" t="s">
        <v>13</v>
      </c>
      <c r="C11" s="2" t="s">
        <v>9</v>
      </c>
      <c r="D11" s="2">
        <v>42000</v>
      </c>
      <c r="E11" s="2">
        <v>40000</v>
      </c>
      <c r="F11" s="3">
        <v>1.05</v>
      </c>
      <c r="G11" s="2">
        <v>92</v>
      </c>
    </row>
    <row r="14" spans="1:7" ht="18.75" customHeight="1" x14ac:dyDescent="0.25">
      <c r="A14" s="1" t="s">
        <v>24</v>
      </c>
      <c r="B14" s="1" t="s">
        <v>25</v>
      </c>
      <c r="C14" s="1" t="s">
        <v>169</v>
      </c>
      <c r="D14" s="1"/>
    </row>
    <row r="15" spans="1:7" ht="18.75" customHeight="1" x14ac:dyDescent="0.25">
      <c r="A15" s="2">
        <v>1</v>
      </c>
      <c r="B15" s="2" t="s">
        <v>26</v>
      </c>
      <c r="C15" s="4"/>
      <c r="D15" s="2"/>
    </row>
    <row r="16" spans="1:7" ht="18.75" customHeight="1" x14ac:dyDescent="0.25">
      <c r="A16" s="2">
        <v>2</v>
      </c>
      <c r="B16" s="2" t="s">
        <v>27</v>
      </c>
      <c r="C16" s="4"/>
      <c r="D16" s="2"/>
    </row>
    <row r="17" spans="1:4" ht="18.75" customHeight="1" x14ac:dyDescent="0.25">
      <c r="A17" s="2">
        <v>3</v>
      </c>
      <c r="B17" s="2" t="s">
        <v>28</v>
      </c>
      <c r="C17" s="4"/>
      <c r="D17" s="2"/>
    </row>
    <row r="18" spans="1:4" ht="18.75" customHeight="1" x14ac:dyDescent="0.25">
      <c r="A18" s="2">
        <v>4</v>
      </c>
      <c r="B18" s="2" t="s">
        <v>29</v>
      </c>
      <c r="C18" s="4"/>
      <c r="D18" s="2"/>
    </row>
    <row r="19" spans="1:4" ht="18.75" customHeight="1" x14ac:dyDescent="0.25">
      <c r="A19" s="2">
        <v>5</v>
      </c>
      <c r="B19" s="2" t="s">
        <v>30</v>
      </c>
      <c r="C19" s="4"/>
      <c r="D19" s="2"/>
    </row>
    <row r="20" spans="1:4" ht="18.75" customHeight="1" x14ac:dyDescent="0.25">
      <c r="A20" s="2">
        <v>6</v>
      </c>
      <c r="B20" s="2" t="s">
        <v>31</v>
      </c>
      <c r="C20" s="4"/>
      <c r="D20" s="2"/>
    </row>
    <row r="21" spans="1:4" ht="18.75" customHeight="1" x14ac:dyDescent="0.25">
      <c r="A21" s="2">
        <v>7</v>
      </c>
      <c r="B21" s="2" t="s">
        <v>32</v>
      </c>
      <c r="C21" s="4"/>
      <c r="D21" s="2"/>
    </row>
    <row r="22" spans="1:4" ht="18.75" customHeight="1" x14ac:dyDescent="0.25">
      <c r="A22" s="2">
        <v>8</v>
      </c>
      <c r="B22" s="2" t="s">
        <v>33</v>
      </c>
      <c r="C22" s="4"/>
      <c r="D22" s="2"/>
    </row>
    <row r="23" spans="1:4" ht="18.75" customHeight="1" x14ac:dyDescent="0.25">
      <c r="A23" s="2">
        <v>9</v>
      </c>
      <c r="B23" s="2" t="s">
        <v>34</v>
      </c>
      <c r="C23" s="4"/>
      <c r="D23" s="2"/>
    </row>
    <row r="24" spans="1:4" ht="18.75" customHeight="1" x14ac:dyDescent="0.25">
      <c r="A24" s="2">
        <v>10</v>
      </c>
      <c r="B24" s="2" t="s">
        <v>35</v>
      </c>
      <c r="C24" s="4"/>
      <c r="D24" s="2"/>
    </row>
    <row r="25" spans="1:4" ht="18.75" customHeight="1" x14ac:dyDescent="0.25">
      <c r="A25" s="2">
        <v>11</v>
      </c>
      <c r="B25" s="2" t="s">
        <v>36</v>
      </c>
      <c r="C25" s="4"/>
      <c r="D25" s="2"/>
    </row>
    <row r="26" spans="1:4" ht="18.75" customHeight="1" x14ac:dyDescent="0.25">
      <c r="A26" s="2">
        <v>12</v>
      </c>
      <c r="B26" s="2" t="s">
        <v>37</v>
      </c>
      <c r="C26" s="4"/>
      <c r="D26" s="2"/>
    </row>
    <row r="27" spans="1:4" ht="18.75" customHeight="1" x14ac:dyDescent="0.25">
      <c r="A27" s="2">
        <v>13</v>
      </c>
      <c r="B27" s="2" t="s">
        <v>38</v>
      </c>
      <c r="C27" s="4"/>
      <c r="D27" s="2"/>
    </row>
    <row r="28" spans="1:4" ht="18.75" customHeight="1" x14ac:dyDescent="0.25">
      <c r="A28" s="2">
        <v>14</v>
      </c>
      <c r="B28" s="2" t="s">
        <v>39</v>
      </c>
      <c r="C28" s="4"/>
      <c r="D28" s="2"/>
    </row>
    <row r="29" spans="1:4" ht="18.75" customHeight="1" x14ac:dyDescent="0.25">
      <c r="A29" s="2">
        <v>15</v>
      </c>
      <c r="B29" s="2" t="s">
        <v>40</v>
      </c>
      <c r="C29" s="4"/>
      <c r="D29" s="2"/>
    </row>
    <row r="30" spans="1:4" ht="18.75" customHeight="1" x14ac:dyDescent="0.25">
      <c r="A30" s="2">
        <v>16</v>
      </c>
      <c r="B30" s="2" t="s">
        <v>41</v>
      </c>
      <c r="C30" s="4"/>
      <c r="D30" s="2"/>
    </row>
    <row r="31" spans="1:4" ht="18.75" customHeight="1" x14ac:dyDescent="0.25">
      <c r="A31" s="2">
        <v>17</v>
      </c>
      <c r="B31" s="2" t="s">
        <v>56</v>
      </c>
      <c r="C31" s="4"/>
      <c r="D31" s="2"/>
    </row>
    <row r="32" spans="1:4" ht="18.75" customHeight="1" x14ac:dyDescent="0.25">
      <c r="A32" s="2">
        <v>18</v>
      </c>
      <c r="B32" s="2" t="s">
        <v>42</v>
      </c>
      <c r="C32" s="4"/>
      <c r="D32" s="2"/>
    </row>
    <row r="33" spans="1:4" ht="18.75" customHeight="1" x14ac:dyDescent="0.25">
      <c r="A33" s="2">
        <v>19</v>
      </c>
      <c r="B33" s="2" t="s">
        <v>43</v>
      </c>
      <c r="C33" s="4"/>
      <c r="D33" s="2"/>
    </row>
    <row r="34" spans="1:4" ht="18.75" customHeight="1" x14ac:dyDescent="0.25">
      <c r="A34" s="2">
        <v>20</v>
      </c>
      <c r="B34" s="2" t="s">
        <v>57</v>
      </c>
      <c r="C34" s="4"/>
      <c r="D34" s="2"/>
    </row>
    <row r="35" spans="1:4" ht="18.75" customHeight="1" x14ac:dyDescent="0.25">
      <c r="A35" s="2">
        <v>21</v>
      </c>
      <c r="B35" s="2" t="s">
        <v>58</v>
      </c>
      <c r="C35" s="4"/>
      <c r="D35" s="2"/>
    </row>
    <row r="36" spans="1:4" ht="41.25" customHeight="1" x14ac:dyDescent="0.25">
      <c r="A36" s="2">
        <v>22</v>
      </c>
      <c r="B36" s="2" t="s">
        <v>59</v>
      </c>
      <c r="C36" s="4"/>
      <c r="D36" s="2"/>
    </row>
    <row r="37" spans="1:4" ht="18.75" customHeight="1" x14ac:dyDescent="0.25">
      <c r="A37" s="2">
        <v>23</v>
      </c>
      <c r="B37" s="2" t="s">
        <v>60</v>
      </c>
      <c r="C37" s="4"/>
      <c r="D37" s="2"/>
    </row>
    <row r="38" spans="1:4" ht="18.75" customHeight="1" x14ac:dyDescent="0.25">
      <c r="A38" s="2">
        <v>24</v>
      </c>
      <c r="B38" s="2" t="s">
        <v>44</v>
      </c>
      <c r="C38" s="4"/>
      <c r="D38" s="2"/>
    </row>
    <row r="39" spans="1:4" ht="18.75" customHeight="1" x14ac:dyDescent="0.25">
      <c r="A39" s="2">
        <v>25</v>
      </c>
      <c r="B39" s="2" t="s">
        <v>45</v>
      </c>
      <c r="C39" s="2"/>
      <c r="D39" s="2"/>
    </row>
    <row r="40" spans="1:4" ht="18.75" customHeight="1" x14ac:dyDescent="0.25">
      <c r="A40" s="2">
        <v>26</v>
      </c>
      <c r="B40" s="2" t="s">
        <v>46</v>
      </c>
      <c r="C40" s="4"/>
      <c r="D40" s="2"/>
    </row>
    <row r="41" spans="1:4" ht="18.75" customHeight="1" x14ac:dyDescent="0.25">
      <c r="A41" s="2">
        <v>27</v>
      </c>
      <c r="B41" s="2" t="s">
        <v>61</v>
      </c>
      <c r="C41" s="2"/>
      <c r="D41" s="2"/>
    </row>
    <row r="42" spans="1:4" ht="18.75" customHeight="1" x14ac:dyDescent="0.25">
      <c r="A42" s="2">
        <v>28</v>
      </c>
      <c r="B42" s="2" t="s">
        <v>62</v>
      </c>
      <c r="C42" s="2"/>
      <c r="D42" s="2"/>
    </row>
    <row r="43" spans="1:4" ht="18.75" customHeight="1" x14ac:dyDescent="0.25">
      <c r="A43" s="2">
        <v>29</v>
      </c>
      <c r="B43" s="2" t="s">
        <v>47</v>
      </c>
      <c r="C43" s="4"/>
      <c r="D43" s="2"/>
    </row>
    <row r="44" spans="1:4" ht="18.75" customHeight="1" x14ac:dyDescent="0.25">
      <c r="A44" s="2">
        <v>30</v>
      </c>
      <c r="B44" s="2" t="s">
        <v>48</v>
      </c>
      <c r="C44" s="4"/>
      <c r="D44" s="2"/>
    </row>
    <row r="45" spans="1:4" ht="18.75" customHeight="1" x14ac:dyDescent="0.25">
      <c r="A45" s="2">
        <v>31</v>
      </c>
      <c r="B45" s="2" t="s">
        <v>49</v>
      </c>
      <c r="C45" s="4"/>
      <c r="D45" s="2"/>
    </row>
    <row r="46" spans="1:4" ht="18.75" customHeight="1" x14ac:dyDescent="0.25">
      <c r="A46" s="2">
        <v>32</v>
      </c>
      <c r="B46" s="2" t="s">
        <v>50</v>
      </c>
      <c r="C46" s="4"/>
      <c r="D46" s="2"/>
    </row>
    <row r="47" spans="1:4" ht="18.75" customHeight="1" x14ac:dyDescent="0.25">
      <c r="A47" s="2"/>
      <c r="B47" s="2"/>
      <c r="C47" s="4"/>
      <c r="D47" s="2"/>
    </row>
    <row r="48" spans="1:4" ht="18.75" customHeight="1" x14ac:dyDescent="0.25">
      <c r="A48" s="2"/>
      <c r="B48" s="2"/>
      <c r="C48" s="4"/>
      <c r="D48" s="2"/>
    </row>
    <row r="49" spans="1:4" ht="18.75" customHeight="1" x14ac:dyDescent="0.25">
      <c r="A49" s="2"/>
      <c r="B49" s="2"/>
      <c r="C49" s="4"/>
      <c r="D49" s="2"/>
    </row>
    <row r="50" spans="1:4" ht="18.75" customHeight="1" x14ac:dyDescent="0.25">
      <c r="A50" s="2"/>
      <c r="B50" s="2"/>
      <c r="C50" s="2"/>
      <c r="D50" s="2"/>
    </row>
    <row r="51" spans="1:4" ht="18.75" customHeight="1" x14ac:dyDescent="0.25">
      <c r="A51" s="2"/>
      <c r="B51" s="2"/>
      <c r="C51" s="2"/>
      <c r="D51" s="2"/>
    </row>
    <row r="52" spans="1:4" ht="18.75" customHeight="1" x14ac:dyDescent="0.25">
      <c r="A52" s="2"/>
      <c r="B52" s="2"/>
      <c r="C52" s="2"/>
      <c r="D52" s="2"/>
    </row>
    <row r="53" spans="1:4" ht="18.75" customHeight="1" x14ac:dyDescent="0.25">
      <c r="A53" s="2"/>
      <c r="B53" s="2"/>
      <c r="C53" s="2"/>
      <c r="D53" s="2"/>
    </row>
    <row r="54" spans="1:4" ht="18.75" customHeight="1" x14ac:dyDescent="0.25">
      <c r="A54" s="2"/>
      <c r="B54" s="2"/>
      <c r="C54" s="4"/>
      <c r="D54" s="2"/>
    </row>
    <row r="55" spans="1:4" ht="18.75" customHeight="1" x14ac:dyDescent="0.25">
      <c r="A55" s="2">
        <v>48</v>
      </c>
      <c r="B55" s="2" t="s">
        <v>52</v>
      </c>
      <c r="C55" s="4">
        <f>COUNTBLANK(B2:B11)</f>
        <v>0</v>
      </c>
      <c r="D55" s="2" t="s">
        <v>53</v>
      </c>
    </row>
    <row r="56" spans="1:4" ht="18.75" customHeight="1" x14ac:dyDescent="0.25">
      <c r="A56" s="2"/>
      <c r="B56" s="2"/>
      <c r="C56" s="4"/>
      <c r="D56" s="2"/>
    </row>
    <row r="57" spans="1:4" ht="18.75" customHeight="1" x14ac:dyDescent="0.25">
      <c r="A57" s="2">
        <v>50</v>
      </c>
      <c r="B57" s="2" t="s">
        <v>54</v>
      </c>
      <c r="C57" s="4">
        <f>IF(F2&gt;=100%,D2*10%,"0")</f>
        <v>8500</v>
      </c>
      <c r="D57" s="2" t="s">
        <v>55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abSelected="1" workbookViewId="0">
      <pane ySplit="5250" topLeftCell="A12" activePane="bottomLeft"/>
      <selection pane="bottomLeft" activeCell="C19" sqref="C19"/>
    </sheetView>
  </sheetViews>
  <sheetFormatPr defaultColWidth="19.42578125" defaultRowHeight="22.5" customHeight="1" x14ac:dyDescent="0.25"/>
  <cols>
    <col min="2" max="2" width="44.7109375" bestFit="1" customWidth="1"/>
    <col min="4" max="4" width="28.7109375" bestFit="1" customWidth="1"/>
  </cols>
  <sheetData>
    <row r="1" spans="1:7" ht="22.5" customHeight="1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ht="22.5" customHeight="1" x14ac:dyDescent="0.25">
      <c r="A2" s="2" t="s">
        <v>70</v>
      </c>
      <c r="B2" s="2" t="s">
        <v>71</v>
      </c>
      <c r="C2" s="2" t="s">
        <v>72</v>
      </c>
      <c r="D2" s="2">
        <v>55000</v>
      </c>
      <c r="E2" s="2">
        <v>15</v>
      </c>
      <c r="F2" s="2">
        <v>5</v>
      </c>
      <c r="G2" s="2" t="s">
        <v>9</v>
      </c>
    </row>
    <row r="3" spans="1:7" ht="22.5" customHeight="1" x14ac:dyDescent="0.25">
      <c r="A3" s="2" t="s">
        <v>73</v>
      </c>
      <c r="B3" s="2" t="s">
        <v>74</v>
      </c>
      <c r="C3" s="2" t="s">
        <v>75</v>
      </c>
      <c r="D3" s="2">
        <v>800</v>
      </c>
      <c r="E3" s="2">
        <v>120</v>
      </c>
      <c r="F3" s="2">
        <v>0</v>
      </c>
      <c r="G3" s="2" t="s">
        <v>11</v>
      </c>
    </row>
    <row r="4" spans="1:7" ht="22.5" customHeight="1" x14ac:dyDescent="0.25">
      <c r="A4" s="2" t="s">
        <v>76</v>
      </c>
      <c r="B4" s="2" t="s">
        <v>77</v>
      </c>
      <c r="C4" s="2" t="s">
        <v>75</v>
      </c>
      <c r="D4" s="2">
        <v>1200</v>
      </c>
      <c r="E4" s="2">
        <v>90</v>
      </c>
      <c r="F4" s="2">
        <v>10</v>
      </c>
      <c r="G4" s="2" t="s">
        <v>16</v>
      </c>
    </row>
    <row r="5" spans="1:7" ht="22.5" customHeight="1" x14ac:dyDescent="0.25">
      <c r="A5" s="2" t="s">
        <v>78</v>
      </c>
      <c r="B5" s="2" t="s">
        <v>79</v>
      </c>
      <c r="C5" s="2" t="s">
        <v>72</v>
      </c>
      <c r="D5" s="2">
        <v>15000</v>
      </c>
      <c r="E5" s="2">
        <v>25</v>
      </c>
      <c r="F5" s="2">
        <v>8</v>
      </c>
      <c r="G5" s="2" t="s">
        <v>18</v>
      </c>
    </row>
    <row r="6" spans="1:7" ht="22.5" customHeight="1" x14ac:dyDescent="0.25">
      <c r="A6" s="2" t="s">
        <v>80</v>
      </c>
      <c r="B6" s="2" t="s">
        <v>81</v>
      </c>
      <c r="C6" s="2" t="s">
        <v>72</v>
      </c>
      <c r="D6" s="2">
        <v>12000</v>
      </c>
      <c r="E6" s="2">
        <v>20</v>
      </c>
      <c r="F6" s="2">
        <v>7</v>
      </c>
      <c r="G6" s="2" t="s">
        <v>9</v>
      </c>
    </row>
    <row r="7" spans="1:7" ht="22.5" customHeight="1" x14ac:dyDescent="0.25">
      <c r="A7" s="2" t="s">
        <v>82</v>
      </c>
      <c r="B7" s="2" t="s">
        <v>83</v>
      </c>
      <c r="C7" s="2" t="s">
        <v>72</v>
      </c>
      <c r="D7" s="2">
        <v>10000</v>
      </c>
      <c r="E7" s="2">
        <v>18</v>
      </c>
      <c r="F7" s="2">
        <v>5</v>
      </c>
      <c r="G7" s="2" t="s">
        <v>11</v>
      </c>
    </row>
    <row r="8" spans="1:7" ht="22.5" customHeight="1" x14ac:dyDescent="0.25">
      <c r="A8" s="2" t="s">
        <v>84</v>
      </c>
      <c r="B8" s="2" t="s">
        <v>85</v>
      </c>
      <c r="C8" s="2" t="s">
        <v>72</v>
      </c>
      <c r="D8" s="2">
        <v>25000</v>
      </c>
      <c r="E8" s="2">
        <v>10</v>
      </c>
      <c r="F8" s="2">
        <v>3</v>
      </c>
      <c r="G8" s="2" t="s">
        <v>16</v>
      </c>
    </row>
    <row r="9" spans="1:7" ht="22.5" customHeight="1" x14ac:dyDescent="0.25">
      <c r="A9" s="2" t="s">
        <v>86</v>
      </c>
      <c r="B9" s="2" t="s">
        <v>87</v>
      </c>
      <c r="C9" s="2" t="s">
        <v>75</v>
      </c>
      <c r="D9" s="2">
        <v>3000</v>
      </c>
      <c r="E9" s="2">
        <v>45</v>
      </c>
      <c r="F9" s="2">
        <v>12</v>
      </c>
      <c r="G9" s="2" t="s">
        <v>18</v>
      </c>
    </row>
    <row r="10" spans="1:7" ht="22.5" customHeight="1" x14ac:dyDescent="0.25">
      <c r="A10" s="2" t="s">
        <v>88</v>
      </c>
      <c r="B10" s="2" t="s">
        <v>89</v>
      </c>
      <c r="C10" s="2" t="s">
        <v>72</v>
      </c>
      <c r="D10" s="2">
        <v>40000</v>
      </c>
      <c r="E10" s="2">
        <v>12</v>
      </c>
      <c r="F10" s="2">
        <v>4</v>
      </c>
      <c r="G10" s="2" t="s">
        <v>9</v>
      </c>
    </row>
    <row r="11" spans="1:7" ht="22.5" customHeight="1" x14ac:dyDescent="0.25">
      <c r="A11" s="2" t="s">
        <v>90</v>
      </c>
      <c r="B11" s="2" t="s">
        <v>91</v>
      </c>
      <c r="C11" s="2" t="s">
        <v>92</v>
      </c>
      <c r="D11" s="2">
        <v>5000</v>
      </c>
      <c r="E11" s="2">
        <v>30</v>
      </c>
      <c r="F11" s="2">
        <v>6</v>
      </c>
      <c r="G11" s="2" t="s">
        <v>16</v>
      </c>
    </row>
    <row r="13" spans="1:7" ht="22.5" customHeight="1" x14ac:dyDescent="0.25">
      <c r="A13" s="1" t="s">
        <v>24</v>
      </c>
      <c r="B13" s="1" t="s">
        <v>25</v>
      </c>
      <c r="C13" s="1" t="s">
        <v>169</v>
      </c>
      <c r="D13" s="1"/>
    </row>
    <row r="14" spans="1:7" ht="22.5" customHeight="1" x14ac:dyDescent="0.25">
      <c r="A14" s="2">
        <v>1</v>
      </c>
      <c r="B14" s="2" t="s">
        <v>93</v>
      </c>
      <c r="C14" s="4">
        <f>SUM(E2:E11)</f>
        <v>385</v>
      </c>
      <c r="D14" s="2"/>
    </row>
    <row r="15" spans="1:7" ht="22.5" customHeight="1" x14ac:dyDescent="0.25">
      <c r="A15" s="2">
        <v>2</v>
      </c>
      <c r="B15" s="2" t="s">
        <v>94</v>
      </c>
      <c r="C15" s="4">
        <f>AVERAGE(D2:D11)</f>
        <v>16700</v>
      </c>
      <c r="D15" s="2"/>
    </row>
    <row r="16" spans="1:7" ht="22.5" customHeight="1" x14ac:dyDescent="0.25">
      <c r="A16" s="2">
        <v>3</v>
      </c>
      <c r="B16" s="2" t="s">
        <v>95</v>
      </c>
      <c r="C16" s="4">
        <f>MAX(D2:D11)</f>
        <v>55000</v>
      </c>
      <c r="D16" s="2"/>
    </row>
    <row r="17" spans="1:4" ht="22.5" customHeight="1" x14ac:dyDescent="0.25">
      <c r="A17" s="2">
        <v>4</v>
      </c>
      <c r="B17" s="2" t="s">
        <v>96</v>
      </c>
      <c r="C17" s="4">
        <f>MIN(D2:D11)</f>
        <v>800</v>
      </c>
      <c r="D17" s="2"/>
    </row>
    <row r="18" spans="1:4" ht="22.5" customHeight="1" x14ac:dyDescent="0.25">
      <c r="A18" s="2">
        <v>5</v>
      </c>
      <c r="B18" s="2" t="s">
        <v>97</v>
      </c>
      <c r="C18" s="4">
        <f>COUNTA(B2:B11)</f>
        <v>10</v>
      </c>
      <c r="D18" s="2"/>
    </row>
    <row r="19" spans="1:4" ht="22.5" customHeight="1" x14ac:dyDescent="0.25">
      <c r="A19" s="2">
        <v>6</v>
      </c>
      <c r="B19" s="2" t="s">
        <v>98</v>
      </c>
      <c r="C19" s="4">
        <f>COUNTA(C3:C4)+COUNTA(C9)</f>
        <v>3</v>
      </c>
      <c r="D19" s="2"/>
    </row>
    <row r="20" spans="1:4" ht="22.5" customHeight="1" x14ac:dyDescent="0.25">
      <c r="A20" s="2">
        <v>7</v>
      </c>
      <c r="B20" s="2" t="s">
        <v>99</v>
      </c>
      <c r="C20" s="4">
        <f>D2+D5+D6+D7+D8+D10</f>
        <v>157000</v>
      </c>
      <c r="D20" s="2"/>
    </row>
    <row r="21" spans="1:4" ht="22.5" customHeight="1" x14ac:dyDescent="0.25">
      <c r="A21" s="2">
        <v>8</v>
      </c>
      <c r="B21" s="2" t="s">
        <v>100</v>
      </c>
      <c r="C21" s="4">
        <f ca="1">AVERAGEIF(C:C,"Electronics",F:F)</f>
        <v>0</v>
      </c>
      <c r="D21" s="2"/>
    </row>
    <row r="22" spans="1:4" ht="22.5" customHeight="1" x14ac:dyDescent="0.25">
      <c r="A22" s="2">
        <v>9</v>
      </c>
      <c r="B22" s="2" t="s">
        <v>101</v>
      </c>
      <c r="C22" s="4">
        <f>COUNTIF(G:G,"South")</f>
        <v>3</v>
      </c>
      <c r="D22" s="2"/>
    </row>
    <row r="23" spans="1:4" ht="22.5" customHeight="1" x14ac:dyDescent="0.25">
      <c r="A23" s="2">
        <v>10</v>
      </c>
      <c r="B23" s="2" t="s">
        <v>102</v>
      </c>
      <c r="C23" s="4">
        <f>SUMIF(G:G,"East",E:E)</f>
        <v>130</v>
      </c>
      <c r="D23" s="2"/>
    </row>
    <row r="24" spans="1:4" ht="22.5" customHeight="1" x14ac:dyDescent="0.25">
      <c r="A24" s="2">
        <v>11</v>
      </c>
      <c r="B24" s="2" t="s">
        <v>103</v>
      </c>
      <c r="C24" s="4">
        <f>AVERAGEIF(D:D,"&gt;10000",D:D)</f>
        <v>29400</v>
      </c>
      <c r="D24" s="2"/>
    </row>
    <row r="25" spans="1:4" ht="22.5" customHeight="1" x14ac:dyDescent="0.25">
      <c r="A25" s="2">
        <v>12</v>
      </c>
      <c r="B25" s="2" t="s">
        <v>104</v>
      </c>
      <c r="C25" s="4">
        <f>COUNTIF(F:F,"&lt;10")</f>
        <v>8</v>
      </c>
      <c r="D25" s="2"/>
    </row>
    <row r="26" spans="1:4" ht="22.5" customHeight="1" x14ac:dyDescent="0.25">
      <c r="A26" s="2">
        <v>13</v>
      </c>
      <c r="B26" s="2" t="s">
        <v>105</v>
      </c>
      <c r="C26" s="4">
        <f>SUM(D2:D11)</f>
        <v>167000</v>
      </c>
      <c r="D26" s="2"/>
    </row>
    <row r="27" spans="1:4" ht="22.5" customHeight="1" x14ac:dyDescent="0.25">
      <c r="A27" s="2">
        <v>14</v>
      </c>
      <c r="B27" s="2" t="s">
        <v>110</v>
      </c>
      <c r="C27" s="4"/>
      <c r="D27" s="2"/>
    </row>
    <row r="28" spans="1:4" ht="33.75" customHeight="1" x14ac:dyDescent="0.25">
      <c r="A28" s="2">
        <v>15</v>
      </c>
      <c r="B28" s="2" t="s">
        <v>111</v>
      </c>
      <c r="C28" s="4"/>
      <c r="D28" s="2"/>
    </row>
    <row r="29" spans="1:4" ht="22.5" customHeight="1" x14ac:dyDescent="0.25">
      <c r="A29" s="2">
        <v>16</v>
      </c>
      <c r="B29" s="2" t="s">
        <v>106</v>
      </c>
      <c r="C29" s="4"/>
      <c r="D29" s="2"/>
    </row>
    <row r="30" spans="1:4" ht="22.5" customHeight="1" x14ac:dyDescent="0.25">
      <c r="A30" s="2">
        <v>17</v>
      </c>
      <c r="B30" s="2" t="s">
        <v>107</v>
      </c>
      <c r="C30" s="4">
        <f>SUMIF(F:F,"&gt;10",E:E)</f>
        <v>45</v>
      </c>
      <c r="D30" s="2"/>
    </row>
    <row r="31" spans="1:4" ht="22.5" customHeight="1" x14ac:dyDescent="0.25">
      <c r="A31" s="2">
        <v>18</v>
      </c>
      <c r="B31" s="2" t="s">
        <v>108</v>
      </c>
      <c r="C31" s="4">
        <f>AVERAGEIF(G:G,"South",D:D)</f>
        <v>35666.666666666664</v>
      </c>
      <c r="D31" s="2"/>
    </row>
    <row r="32" spans="1:4" ht="22.5" customHeight="1" x14ac:dyDescent="0.25">
      <c r="A32" s="2">
        <v>19</v>
      </c>
      <c r="B32" s="2" t="s">
        <v>109</v>
      </c>
      <c r="C32" s="4">
        <f>COUNTIF(E:E,"&gt;50")</f>
        <v>2</v>
      </c>
      <c r="D32" s="2"/>
    </row>
    <row r="33" spans="1:4" ht="22.5" customHeight="1" x14ac:dyDescent="0.25">
      <c r="A33" s="2"/>
      <c r="B33" s="2"/>
      <c r="C33" s="4"/>
      <c r="D33" s="2"/>
    </row>
    <row r="34" spans="1:4" ht="22.5" customHeight="1" x14ac:dyDescent="0.25">
      <c r="A34" s="2"/>
      <c r="B34" s="2"/>
      <c r="C34" s="4"/>
      <c r="D34" s="2"/>
    </row>
    <row r="35" spans="1:4" ht="22.5" customHeight="1" x14ac:dyDescent="0.25">
      <c r="A35" s="2"/>
      <c r="B35" s="2"/>
      <c r="C35" s="4"/>
      <c r="D35" s="2"/>
    </row>
    <row r="36" spans="1:4" ht="22.5" customHeight="1" x14ac:dyDescent="0.25">
      <c r="A36" s="2"/>
      <c r="B36" s="2"/>
      <c r="C36" s="2"/>
      <c r="D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topLeftCell="A11" workbookViewId="0">
      <selection activeCell="D19" sqref="D19:D34"/>
    </sheetView>
  </sheetViews>
  <sheetFormatPr defaultRowHeight="24" customHeight="1" x14ac:dyDescent="0.25"/>
  <cols>
    <col min="1" max="1" width="12.42578125" bestFit="1" customWidth="1"/>
    <col min="2" max="2" width="45.140625" bestFit="1" customWidth="1"/>
    <col min="3" max="3" width="16.85546875" bestFit="1" customWidth="1"/>
    <col min="4" max="4" width="29.85546875" bestFit="1" customWidth="1"/>
    <col min="5" max="5" width="17.42578125" bestFit="1" customWidth="1"/>
    <col min="6" max="6" width="11.28515625" bestFit="1" customWidth="1"/>
    <col min="7" max="7" width="18.28515625" bestFit="1" customWidth="1"/>
  </cols>
  <sheetData>
    <row r="1" spans="1:7" ht="24" customHeight="1" x14ac:dyDescent="0.25">
      <c r="A1" s="6" t="s">
        <v>112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68</v>
      </c>
      <c r="G1" s="6" t="s">
        <v>117</v>
      </c>
    </row>
    <row r="2" spans="1:7" ht="24" customHeight="1" x14ac:dyDescent="0.25">
      <c r="A2" s="5" t="s">
        <v>118</v>
      </c>
      <c r="B2" s="5" t="s">
        <v>21</v>
      </c>
      <c r="C2" s="5" t="s">
        <v>119</v>
      </c>
      <c r="D2" s="5" t="s">
        <v>120</v>
      </c>
      <c r="E2" s="5">
        <v>10871</v>
      </c>
      <c r="F2" s="5">
        <v>20</v>
      </c>
      <c r="G2" s="7">
        <v>45658</v>
      </c>
    </row>
    <row r="3" spans="1:7" ht="24" customHeight="1" x14ac:dyDescent="0.25">
      <c r="A3" s="5" t="s">
        <v>121</v>
      </c>
      <c r="B3" s="5" t="s">
        <v>17</v>
      </c>
      <c r="C3" s="5" t="s">
        <v>122</v>
      </c>
      <c r="D3" s="5" t="s">
        <v>123</v>
      </c>
      <c r="E3" s="5">
        <v>18363</v>
      </c>
      <c r="F3" s="5">
        <v>5</v>
      </c>
      <c r="G3" s="7">
        <v>45673</v>
      </c>
    </row>
    <row r="4" spans="1:7" ht="24" customHeight="1" x14ac:dyDescent="0.25">
      <c r="A4" s="5" t="s">
        <v>124</v>
      </c>
      <c r="B4" s="5" t="s">
        <v>125</v>
      </c>
      <c r="C4" s="5" t="s">
        <v>126</v>
      </c>
      <c r="D4" s="5" t="s">
        <v>123</v>
      </c>
      <c r="E4" s="5">
        <v>14263</v>
      </c>
      <c r="F4" s="5">
        <v>5</v>
      </c>
      <c r="G4" s="7">
        <v>45688</v>
      </c>
    </row>
    <row r="5" spans="1:7" ht="24" customHeight="1" x14ac:dyDescent="0.25">
      <c r="A5" s="5" t="s">
        <v>127</v>
      </c>
      <c r="B5" s="5" t="s">
        <v>22</v>
      </c>
      <c r="C5" s="5" t="s">
        <v>119</v>
      </c>
      <c r="D5" s="5" t="s">
        <v>128</v>
      </c>
      <c r="E5" s="5">
        <v>15486</v>
      </c>
      <c r="F5" s="5">
        <v>5</v>
      </c>
      <c r="G5" s="7">
        <v>45703</v>
      </c>
    </row>
    <row r="6" spans="1:7" ht="24" customHeight="1" x14ac:dyDescent="0.25">
      <c r="A6" s="5" t="s">
        <v>129</v>
      </c>
      <c r="B6" s="5" t="s">
        <v>130</v>
      </c>
      <c r="C6" s="5" t="s">
        <v>122</v>
      </c>
      <c r="D6" s="5" t="s">
        <v>123</v>
      </c>
      <c r="E6" s="5">
        <v>12550</v>
      </c>
      <c r="F6" s="5">
        <v>5</v>
      </c>
      <c r="G6" s="7">
        <v>45718</v>
      </c>
    </row>
    <row r="7" spans="1:7" ht="24" customHeight="1" x14ac:dyDescent="0.25">
      <c r="A7" s="5" t="s">
        <v>131</v>
      </c>
      <c r="B7" s="5" t="s">
        <v>132</v>
      </c>
      <c r="C7" s="5" t="s">
        <v>126</v>
      </c>
      <c r="D7" s="5" t="s">
        <v>128</v>
      </c>
      <c r="E7" s="5">
        <v>9011</v>
      </c>
      <c r="F7" s="5">
        <v>5</v>
      </c>
      <c r="G7" s="7">
        <v>45733</v>
      </c>
    </row>
    <row r="8" spans="1:7" ht="24" customHeight="1" x14ac:dyDescent="0.25">
      <c r="A8" s="5" t="s">
        <v>133</v>
      </c>
      <c r="B8" s="5" t="s">
        <v>134</v>
      </c>
      <c r="C8" s="5" t="s">
        <v>126</v>
      </c>
      <c r="D8" s="5" t="s">
        <v>123</v>
      </c>
      <c r="E8" s="5">
        <v>2170</v>
      </c>
      <c r="F8" s="5">
        <v>20</v>
      </c>
      <c r="G8" s="7">
        <v>45748</v>
      </c>
    </row>
    <row r="9" spans="1:7" ht="24" customHeight="1" x14ac:dyDescent="0.25">
      <c r="A9" s="5" t="s">
        <v>135</v>
      </c>
      <c r="B9" s="5" t="s">
        <v>12</v>
      </c>
      <c r="C9" s="5" t="s">
        <v>122</v>
      </c>
      <c r="D9" s="5" t="s">
        <v>123</v>
      </c>
      <c r="E9" s="5">
        <v>22619</v>
      </c>
      <c r="F9" s="5">
        <v>10</v>
      </c>
      <c r="G9" s="7">
        <v>45763</v>
      </c>
    </row>
    <row r="10" spans="1:7" ht="24" customHeight="1" x14ac:dyDescent="0.25">
      <c r="A10" s="5" t="s">
        <v>136</v>
      </c>
      <c r="B10" s="5" t="s">
        <v>20</v>
      </c>
      <c r="C10" s="5" t="s">
        <v>126</v>
      </c>
      <c r="D10" s="5" t="s">
        <v>72</v>
      </c>
      <c r="E10" s="5">
        <v>24850</v>
      </c>
      <c r="F10" s="5">
        <v>5</v>
      </c>
      <c r="G10" s="7">
        <v>45778</v>
      </c>
    </row>
    <row r="11" spans="1:7" ht="24" customHeight="1" x14ac:dyDescent="0.25">
      <c r="A11" s="5" t="s">
        <v>137</v>
      </c>
      <c r="B11" s="5" t="s">
        <v>19</v>
      </c>
      <c r="C11" s="5" t="s">
        <v>119</v>
      </c>
      <c r="D11" s="5" t="s">
        <v>128</v>
      </c>
      <c r="E11" s="5">
        <v>16158</v>
      </c>
      <c r="F11" s="5">
        <v>5</v>
      </c>
      <c r="G11" s="7">
        <v>45793</v>
      </c>
    </row>
    <row r="12" spans="1:7" ht="24" customHeight="1" x14ac:dyDescent="0.25">
      <c r="A12" s="5" t="s">
        <v>138</v>
      </c>
      <c r="B12" s="5" t="s">
        <v>139</v>
      </c>
      <c r="C12" s="5" t="s">
        <v>122</v>
      </c>
      <c r="D12" s="5" t="s">
        <v>128</v>
      </c>
      <c r="E12" s="5">
        <v>15902</v>
      </c>
      <c r="F12" s="5">
        <v>15</v>
      </c>
      <c r="G12" s="7">
        <v>45808</v>
      </c>
    </row>
    <row r="13" spans="1:7" ht="24" customHeight="1" x14ac:dyDescent="0.25">
      <c r="A13" s="5" t="s">
        <v>140</v>
      </c>
      <c r="B13" s="5" t="s">
        <v>141</v>
      </c>
      <c r="C13" s="5" t="s">
        <v>119</v>
      </c>
      <c r="D13" s="5" t="s">
        <v>123</v>
      </c>
      <c r="E13" s="5">
        <v>22410</v>
      </c>
      <c r="F13" s="5">
        <v>20</v>
      </c>
      <c r="G13" s="7">
        <v>45823</v>
      </c>
    </row>
    <row r="14" spans="1:7" ht="24" customHeight="1" x14ac:dyDescent="0.25">
      <c r="A14" s="5" t="s">
        <v>142</v>
      </c>
      <c r="B14" s="5" t="s">
        <v>14</v>
      </c>
      <c r="C14" s="5" t="s">
        <v>122</v>
      </c>
      <c r="D14" s="5" t="s">
        <v>123</v>
      </c>
      <c r="E14" s="5">
        <v>20429</v>
      </c>
      <c r="F14" s="5">
        <v>15</v>
      </c>
      <c r="G14" s="7">
        <v>45838</v>
      </c>
    </row>
    <row r="15" spans="1:7" ht="24" customHeight="1" x14ac:dyDescent="0.25">
      <c r="A15" s="5" t="s">
        <v>143</v>
      </c>
      <c r="B15" s="5" t="s">
        <v>144</v>
      </c>
      <c r="C15" s="5" t="s">
        <v>122</v>
      </c>
      <c r="D15" s="5" t="s">
        <v>120</v>
      </c>
      <c r="E15" s="5">
        <v>10772</v>
      </c>
      <c r="F15" s="5">
        <v>10</v>
      </c>
      <c r="G15" s="7">
        <v>45853</v>
      </c>
    </row>
    <row r="16" spans="1:7" ht="24" customHeight="1" x14ac:dyDescent="0.25">
      <c r="A16" s="5" t="s">
        <v>145</v>
      </c>
      <c r="B16" s="5" t="s">
        <v>146</v>
      </c>
      <c r="C16" s="5" t="s">
        <v>126</v>
      </c>
      <c r="D16" s="5" t="s">
        <v>128</v>
      </c>
      <c r="E16" s="5">
        <v>4361</v>
      </c>
      <c r="F16" s="5">
        <v>10</v>
      </c>
      <c r="G16" s="7">
        <v>45868</v>
      </c>
    </row>
    <row r="19" spans="1:4" ht="24" customHeight="1" x14ac:dyDescent="0.25">
      <c r="A19" s="1" t="s">
        <v>24</v>
      </c>
      <c r="B19" s="1" t="s">
        <v>25</v>
      </c>
      <c r="C19" s="1" t="s">
        <v>169</v>
      </c>
      <c r="D19" s="1"/>
    </row>
    <row r="20" spans="1:4" ht="24" customHeight="1" x14ac:dyDescent="0.25">
      <c r="A20" s="2">
        <v>1</v>
      </c>
      <c r="B20" s="2" t="s">
        <v>147</v>
      </c>
      <c r="C20" s="4"/>
      <c r="D20" s="2"/>
    </row>
    <row r="21" spans="1:4" ht="24" customHeight="1" x14ac:dyDescent="0.25">
      <c r="A21" s="2">
        <v>2</v>
      </c>
      <c r="B21" s="2" t="s">
        <v>148</v>
      </c>
      <c r="C21" s="4"/>
      <c r="D21" s="2"/>
    </row>
    <row r="22" spans="1:4" ht="24" customHeight="1" x14ac:dyDescent="0.25">
      <c r="A22" s="2">
        <v>3</v>
      </c>
      <c r="B22" s="2" t="s">
        <v>149</v>
      </c>
      <c r="C22" s="4"/>
      <c r="D22" s="2"/>
    </row>
    <row r="23" spans="1:4" ht="24" customHeight="1" x14ac:dyDescent="0.25">
      <c r="A23" s="2">
        <v>4</v>
      </c>
      <c r="B23" s="2" t="s">
        <v>150</v>
      </c>
      <c r="C23" s="4"/>
      <c r="D23" s="2"/>
    </row>
    <row r="24" spans="1:4" ht="24" customHeight="1" x14ac:dyDescent="0.25">
      <c r="A24" s="2">
        <v>5</v>
      </c>
      <c r="B24" s="2" t="s">
        <v>151</v>
      </c>
      <c r="C24" s="4"/>
      <c r="D24" s="2"/>
    </row>
    <row r="25" spans="1:4" ht="24" customHeight="1" x14ac:dyDescent="0.25">
      <c r="A25" s="2">
        <v>6</v>
      </c>
      <c r="B25" s="2" t="s">
        <v>152</v>
      </c>
      <c r="C25" s="4"/>
      <c r="D25" s="2"/>
    </row>
    <row r="26" spans="1:4" ht="24" customHeight="1" x14ac:dyDescent="0.25">
      <c r="A26" s="2">
        <v>7</v>
      </c>
      <c r="B26" s="2" t="s">
        <v>153</v>
      </c>
      <c r="C26" s="4"/>
      <c r="D26" s="2"/>
    </row>
    <row r="27" spans="1:4" ht="24" customHeight="1" x14ac:dyDescent="0.25">
      <c r="A27" s="2">
        <v>8</v>
      </c>
      <c r="B27" s="2" t="s">
        <v>154</v>
      </c>
      <c r="C27" s="4"/>
      <c r="D27" s="2"/>
    </row>
    <row r="28" spans="1:4" ht="24" customHeight="1" x14ac:dyDescent="0.25">
      <c r="A28" s="2">
        <v>9</v>
      </c>
      <c r="B28" s="2" t="s">
        <v>155</v>
      </c>
      <c r="C28" s="4"/>
      <c r="D28" s="2"/>
    </row>
    <row r="29" spans="1:4" ht="24" customHeight="1" x14ac:dyDescent="0.25">
      <c r="A29" s="2">
        <v>10</v>
      </c>
      <c r="B29" s="2" t="s">
        <v>156</v>
      </c>
      <c r="C29" s="4"/>
      <c r="D29" s="2"/>
    </row>
    <row r="30" spans="1:4" ht="24" customHeight="1" x14ac:dyDescent="0.25">
      <c r="A30" s="2">
        <v>11</v>
      </c>
      <c r="B30" s="2" t="s">
        <v>157</v>
      </c>
      <c r="C30" s="4"/>
      <c r="D30" s="2"/>
    </row>
    <row r="31" spans="1:4" ht="24" customHeight="1" x14ac:dyDescent="0.25">
      <c r="A31" s="2">
        <v>12</v>
      </c>
      <c r="B31" s="2" t="s">
        <v>158</v>
      </c>
      <c r="C31" s="4"/>
      <c r="D31" s="2"/>
    </row>
    <row r="32" spans="1:4" ht="24" customHeight="1" x14ac:dyDescent="0.25">
      <c r="A32" s="2">
        <v>13</v>
      </c>
      <c r="B32" s="2" t="s">
        <v>159</v>
      </c>
      <c r="C32" s="4"/>
      <c r="D32" s="2"/>
    </row>
    <row r="33" spans="1:4" ht="24" customHeight="1" x14ac:dyDescent="0.25">
      <c r="A33" s="2">
        <v>14</v>
      </c>
      <c r="B33" s="2" t="s">
        <v>167</v>
      </c>
      <c r="C33" s="4"/>
      <c r="D33" s="2"/>
    </row>
    <row r="34" spans="1:4" ht="24" customHeight="1" x14ac:dyDescent="0.25">
      <c r="A34" s="2"/>
      <c r="B34" s="2"/>
      <c r="C34" s="4"/>
      <c r="D34" s="2"/>
    </row>
    <row r="35" spans="1:4" ht="24" customHeight="1" x14ac:dyDescent="0.25">
      <c r="A35" s="2">
        <v>16</v>
      </c>
      <c r="B35" s="2" t="s">
        <v>168</v>
      </c>
      <c r="C35" s="4"/>
      <c r="D35" s="2" t="s">
        <v>160</v>
      </c>
    </row>
    <row r="36" spans="1:4" ht="24" customHeight="1" x14ac:dyDescent="0.25">
      <c r="A36" s="2">
        <v>17</v>
      </c>
      <c r="B36" s="2" t="s">
        <v>161</v>
      </c>
      <c r="C36" s="4"/>
      <c r="D36" s="2" t="s">
        <v>51</v>
      </c>
    </row>
    <row r="37" spans="1:4" ht="24" customHeight="1" x14ac:dyDescent="0.25">
      <c r="A37" s="2">
        <v>18</v>
      </c>
      <c r="B37" s="2" t="s">
        <v>162</v>
      </c>
      <c r="C37" s="4"/>
      <c r="D37" s="2" t="s">
        <v>163</v>
      </c>
    </row>
    <row r="38" spans="1:4" ht="24" customHeight="1" x14ac:dyDescent="0.25">
      <c r="A38" s="2">
        <v>19</v>
      </c>
      <c r="B38" s="2" t="s">
        <v>164</v>
      </c>
      <c r="C38" s="4"/>
      <c r="D38" s="2" t="s">
        <v>165</v>
      </c>
    </row>
    <row r="39" spans="1:4" ht="24" customHeight="1" x14ac:dyDescent="0.25">
      <c r="A39" s="2">
        <v>20</v>
      </c>
      <c r="B39" s="2" t="s">
        <v>166</v>
      </c>
      <c r="C39" s="4"/>
      <c r="D39" s="2" t="s">
        <v>51</v>
      </c>
    </row>
    <row r="40" spans="1:4" ht="24" customHeight="1" x14ac:dyDescent="0.25">
      <c r="A40" s="2"/>
      <c r="B40" s="2"/>
      <c r="C40" s="4"/>
      <c r="D40" s="2"/>
    </row>
    <row r="41" spans="1:4" ht="24" customHeight="1" x14ac:dyDescent="0.25">
      <c r="A41" s="2"/>
      <c r="B41" s="2"/>
      <c r="C41" s="4"/>
      <c r="D41" s="2"/>
    </row>
    <row r="42" spans="1:4" ht="24" customHeight="1" x14ac:dyDescent="0.25">
      <c r="A42" s="2"/>
      <c r="B42" s="2"/>
      <c r="C42" s="4"/>
      <c r="D42" s="2"/>
    </row>
    <row r="43" spans="1:4" ht="24" customHeight="1" x14ac:dyDescent="0.25">
      <c r="A43" s="2"/>
      <c r="B43" s="2"/>
      <c r="C43" s="4"/>
      <c r="D43" s="2"/>
    </row>
    <row r="44" spans="1:4" ht="24" customHeight="1" x14ac:dyDescent="0.25">
      <c r="A44" s="2"/>
      <c r="B44" s="2"/>
      <c r="C44" s="4"/>
      <c r="D44" s="2"/>
    </row>
    <row r="45" spans="1:4" ht="24" customHeight="1" x14ac:dyDescent="0.25">
      <c r="A45" s="2"/>
      <c r="B45" s="2"/>
      <c r="C45" s="4"/>
      <c r="D45" s="2"/>
    </row>
    <row r="46" spans="1:4" ht="24" customHeight="1" x14ac:dyDescent="0.25">
      <c r="A46" s="2"/>
      <c r="B46" s="2"/>
      <c r="C46" s="4"/>
      <c r="D46" s="2"/>
    </row>
    <row r="47" spans="1:4" ht="24" customHeight="1" x14ac:dyDescent="0.25">
      <c r="A47" s="2"/>
      <c r="B47" s="2"/>
      <c r="C47" s="2"/>
      <c r="D47" s="2"/>
    </row>
    <row r="48" spans="1:4" ht="24" customHeight="1" x14ac:dyDescent="0.25">
      <c r="A48" s="2"/>
      <c r="B48" s="2"/>
      <c r="C48" s="2"/>
      <c r="D48" s="2"/>
    </row>
    <row r="49" spans="1:4" ht="24" customHeight="1" x14ac:dyDescent="0.25">
      <c r="A49" s="2"/>
      <c r="B49" s="2"/>
      <c r="C49" s="2"/>
      <c r="D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2025-11-12T14:45:19Z</dcterms:created>
  <dcterms:modified xsi:type="dcterms:W3CDTF">2025-11-13T09:47:39Z</dcterms:modified>
</cp:coreProperties>
</file>